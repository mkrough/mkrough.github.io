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vil\Documents\DATA_ANALYTICS\"/>
    </mc:Choice>
  </mc:AlternateContent>
  <xr:revisionPtr revIDLastSave="0" documentId="8_{CBEA2E38-74FA-45A7-A397-241897960C94}" xr6:coauthVersionLast="47" xr6:coauthVersionMax="47" xr10:uidLastSave="{00000000-0000-0000-0000-000000000000}"/>
  <bookViews>
    <workbookView xWindow="-96" yWindow="-96" windowWidth="23232" windowHeight="13152" xr2:uid="{FE657ABA-15D5-4BFA-B895-F17724FE2ABC}"/>
  </bookViews>
  <sheets>
    <sheet name="MSFT Dash" sheetId="1" r:id="rId1"/>
  </sheets>
  <externalReferences>
    <externalReference r:id="rId2"/>
  </externalReferences>
  <definedNames>
    <definedName name="_xlchart.v1.0" hidden="1">[1]MSFT!$H$2:$H$45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<sst xmlns="http://schemas.openxmlformats.org/spreadsheetml/2006/main" count="13" uniqueCount="13">
  <si>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Microsoft Financial Performance Dashboard (2019-2022)</t>
  </si>
  <si>
    <t>data source: https://finance.yahoo.com/quote/MSFT?p=MSFT</t>
  </si>
  <si>
    <t>Q3 - 21</t>
  </si>
  <si>
    <t>Q4 - 21</t>
  </si>
  <si>
    <t>Q1 - 22</t>
  </si>
  <si>
    <t>Q2 - 22</t>
  </si>
  <si>
    <t>Q3 - 22</t>
  </si>
  <si>
    <t>Q4 - 22</t>
  </si>
  <si>
    <t>Total Revenue</t>
  </si>
  <si>
    <t>Market Cap</t>
  </si>
  <si>
    <t>Cost of Revenue</t>
  </si>
  <si>
    <t>PE</t>
  </si>
  <si>
    <t>Gross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</si>
</sst>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&quot;$&quot;#,##0"/>
    <numFmt numFmtId="166" formatCode="&quot;$&quot;#,##0.00"/>
  </numFmts>
  <fonts count="8" x14ac:knownFonts="1">
    <font>
      <sz val="12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2"/>
      <color theme="7" tint="0.3999755851924192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9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0" fillId="3" borderId="0" xfId="0" applyFill="1"/>
    <xf numFmtId="0" fontId="4" fillId="3" borderId="0" xfId="0" applyFont="1" applyFill="1"/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7" fillId="0" borderId="0" xfId="0" applyFont="1" applyAlignment="1">
      <alignment horizontal="right"/>
    </xf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'[1]MSFT (3)'!$B$1</c:f>
              <c:strCache>
                <c:ptCount val="1"/>
                <c:pt idx="0">
                  <c:v>Adj 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'[1]MSFT (3)'!$A$2:$A$49</c:f>
              <c:numCache>
                <c:formatCode>General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'[1]MSFT (3)'!$B$2:$B$49</c:f>
              <c:numCache>
                <c:formatCode>General</c:formatCode>
                <c:ptCount val="48"/>
                <c:pt idx="0">
                  <c:v>99.166435000000007</c:v>
                </c:pt>
                <c:pt idx="1">
                  <c:v>106.383369</c:v>
                </c:pt>
                <c:pt idx="2">
                  <c:v>112.47378500000001</c:v>
                </c:pt>
                <c:pt idx="3">
                  <c:v>124.54703499999999</c:v>
                </c:pt>
                <c:pt idx="4">
                  <c:v>117.947754</c:v>
                </c:pt>
                <c:pt idx="5">
                  <c:v>128.22422800000001</c:v>
                </c:pt>
                <c:pt idx="6">
                  <c:v>130.435318</c:v>
                </c:pt>
                <c:pt idx="7">
                  <c:v>131.957199</c:v>
                </c:pt>
                <c:pt idx="8">
                  <c:v>133.520264</c:v>
                </c:pt>
                <c:pt idx="9">
                  <c:v>137.688278</c:v>
                </c:pt>
                <c:pt idx="10">
                  <c:v>145.38081399999999</c:v>
                </c:pt>
                <c:pt idx="11">
                  <c:v>151.96568300000001</c:v>
                </c:pt>
                <c:pt idx="12">
                  <c:v>164.040085</c:v>
                </c:pt>
                <c:pt idx="13">
                  <c:v>156.11897300000001</c:v>
                </c:pt>
                <c:pt idx="14">
                  <c:v>152.39044200000001</c:v>
                </c:pt>
                <c:pt idx="15">
                  <c:v>173.16525300000001</c:v>
                </c:pt>
                <c:pt idx="16">
                  <c:v>177.068985</c:v>
                </c:pt>
                <c:pt idx="17">
                  <c:v>197.19328300000001</c:v>
                </c:pt>
                <c:pt idx="18">
                  <c:v>198.64671300000001</c:v>
                </c:pt>
                <c:pt idx="19">
                  <c:v>218.529785</c:v>
                </c:pt>
                <c:pt idx="20">
                  <c:v>204.29425000000001</c:v>
                </c:pt>
                <c:pt idx="21">
                  <c:v>196.65980500000001</c:v>
                </c:pt>
                <c:pt idx="22">
                  <c:v>207.926941</c:v>
                </c:pt>
                <c:pt idx="23">
                  <c:v>216.60290499999999</c:v>
                </c:pt>
                <c:pt idx="24">
                  <c:v>225.893417</c:v>
                </c:pt>
                <c:pt idx="25">
                  <c:v>226.30242899999999</c:v>
                </c:pt>
                <c:pt idx="26">
                  <c:v>230.13256799999999</c:v>
                </c:pt>
                <c:pt idx="27">
                  <c:v>246.15020799999999</c:v>
                </c:pt>
                <c:pt idx="28">
                  <c:v>243.709946</c:v>
                </c:pt>
                <c:pt idx="29">
                  <c:v>265.033142</c:v>
                </c:pt>
                <c:pt idx="30">
                  <c:v>278.739777</c:v>
                </c:pt>
                <c:pt idx="31">
                  <c:v>295.34219400000001</c:v>
                </c:pt>
                <c:pt idx="32">
                  <c:v>276.34255999999999</c:v>
                </c:pt>
                <c:pt idx="33">
                  <c:v>325.059235</c:v>
                </c:pt>
                <c:pt idx="34">
                  <c:v>324.04965199999998</c:v>
                </c:pt>
                <c:pt idx="35">
                  <c:v>330.26943999999997</c:v>
                </c:pt>
                <c:pt idx="36">
                  <c:v>305.38531499999999</c:v>
                </c:pt>
                <c:pt idx="37">
                  <c:v>293.414581</c:v>
                </c:pt>
                <c:pt idx="38">
                  <c:v>303.38937399999998</c:v>
                </c:pt>
                <c:pt idx="39">
                  <c:v>273.09072900000001</c:v>
                </c:pt>
                <c:pt idx="40">
                  <c:v>267.53094499999997</c:v>
                </c:pt>
                <c:pt idx="41">
                  <c:v>253.31961100000001</c:v>
                </c:pt>
                <c:pt idx="42">
                  <c:v>276.90277099999997</c:v>
                </c:pt>
                <c:pt idx="43">
                  <c:v>257.89614899999998</c:v>
                </c:pt>
                <c:pt idx="44">
                  <c:v>230.204285</c:v>
                </c:pt>
                <c:pt idx="45">
                  <c:v>229.44319200000001</c:v>
                </c:pt>
                <c:pt idx="46">
                  <c:v>252.186859</c:v>
                </c:pt>
                <c:pt idx="47">
                  <c:v>237.712219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A3-43B3-9F8B-E9AB59CB9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4917695"/>
        <c:axId val="254915295"/>
      </c:lineChart>
      <c:dateAx>
        <c:axId val="254917695"/>
        <c:scaling>
          <c:orientation val="minMax"/>
          <c:max val="4456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915295"/>
        <c:crosses val="autoZero"/>
        <c:auto val="0"/>
        <c:lblOffset val="100"/>
        <c:baseTimeUnit val="months"/>
        <c:majorUnit val="1"/>
        <c:majorTimeUnit val="years"/>
      </c:dateAx>
      <c:valAx>
        <c:axId val="254915295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917695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ctr" anchorCtr="0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series layoutId="clusteredColumn" uniqueId="{1267DA46-F0F1-4366-ACF0-6495527574F1}">
          <cx:dataId val="0"/>
          <cx:layoutPr>
            <cx:binning intervalClosed="r"/>
          </cx:layoutPr>
        </cx:series>
      </cx:plotAreaRegion>
      <cx:axis id="0">
        <cx:catScaling gapWidth="2.19000006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1.png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</xdr:row>
      <xdr:rowOff>1</xdr:rowOff>
    </xdr:from>
    <xdr:to>
      <xdr:col>11</xdr:col>
      <xdr:colOff>0</xdr:colOff>
      <xdr:row>12</xdr:row>
      <xdr:rowOff>1</xdr:rowOff>
    </xdr:to>
    <xdr:sp macro="" textlink="'[1]MSFT Analysis'!B1">
      <xdr:nvSpPr>
        <xdr:cNvPr id="2" name="Flowchart: Document 1">
          <a:extLst>
            <a:ext uri="{FF2B5EF4-FFF2-40B4-BE49-F238E27FC236}">
              <a16:creationId xmlns:a16="http://schemas.microsoft.com/office/drawing/2014/main" id="{A3919FDC-B1FD-4685-91B6-C9EF0B81D1D7}"/>
            </a:ext>
          </a:extLst>
        </xdr:cNvPr>
        <xdr:cNvSpPr/>
      </xdr:nvSpPr>
      <xdr:spPr>
        <a:xfrm>
          <a:off x="6267450" y="1714501"/>
          <a:ext cx="2583180" cy="792480"/>
        </a:xfrm>
        <a:prstGeom prst="flowChartDocumen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0B481314-0269-4813-AA6E-0C2DCB8DB804}" type="TxLink">
            <a:rPr lang="en-US" sz="1800" b="1" i="0" u="none" strike="noStrike">
              <a:solidFill>
                <a:schemeClr val="bg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MSFT 4 YR
Monthly Returns</a:t>
          </a:fld>
          <a:endParaRPr lang="en-US" sz="1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0</xdr:colOff>
      <xdr:row>8</xdr:row>
      <xdr:rowOff>1</xdr:rowOff>
    </xdr:from>
    <xdr:to>
      <xdr:col>2</xdr:col>
      <xdr:colOff>0</xdr:colOff>
      <xdr:row>12</xdr:row>
      <xdr:rowOff>1</xdr:rowOff>
    </xdr:to>
    <xdr:sp macro="" textlink="'[1]MSFT Analysis'!A1">
      <xdr:nvSpPr>
        <xdr:cNvPr id="3" name="Flowchart: Document 2">
          <a:extLst>
            <a:ext uri="{FF2B5EF4-FFF2-40B4-BE49-F238E27FC236}">
              <a16:creationId xmlns:a16="http://schemas.microsoft.com/office/drawing/2014/main" id="{D942DB1C-EDBE-4B49-8B94-CE1739E44B15}"/>
            </a:ext>
          </a:extLst>
        </xdr:cNvPr>
        <xdr:cNvSpPr/>
      </xdr:nvSpPr>
      <xdr:spPr>
        <a:xfrm>
          <a:off x="0" y="1714501"/>
          <a:ext cx="2057400" cy="792480"/>
        </a:xfrm>
        <a:prstGeom prst="flowChartDocumen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496D765C-0C4A-4671-9A6C-F0E12CE69106}" type="TxLink">
            <a:rPr lang="en-US" sz="1800" b="1" i="0" u="none" strike="noStrike">
              <a:solidFill>
                <a:schemeClr val="bg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MSFT 4 YR 
Return</a:t>
          </a:fld>
          <a:endParaRPr lang="en-US" sz="1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12</xdr:row>
      <xdr:rowOff>-1</xdr:rowOff>
    </xdr:from>
    <xdr:to>
      <xdr:col>16</xdr:col>
      <xdr:colOff>0</xdr:colOff>
      <xdr:row>19</xdr:row>
      <xdr:rowOff>-1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251A0F2F-CE28-4056-A533-BDEC50C02A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50630" y="2506979"/>
              <a:ext cx="3451860" cy="1771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oneCellAnchor>
    <xdr:from>
      <xdr:col>1</xdr:col>
      <xdr:colOff>833437</xdr:colOff>
      <xdr:row>11</xdr:row>
      <xdr:rowOff>109537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E637785-23A0-4ABD-9BF5-6097CB9D86E2}"/>
            </a:ext>
          </a:extLst>
        </xdr:cNvPr>
        <xdr:cNvSpPr txBox="1"/>
      </xdr:nvSpPr>
      <xdr:spPr>
        <a:xfrm>
          <a:off x="1934527" y="241839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347663</xdr:colOff>
      <xdr:row>14</xdr:row>
      <xdr:rowOff>14287</xdr:rowOff>
    </xdr:from>
    <xdr:to>
      <xdr:col>1</xdr:col>
      <xdr:colOff>795337</xdr:colOff>
      <xdr:row>16</xdr:row>
      <xdr:rowOff>9525</xdr:rowOff>
    </xdr:to>
    <xdr:sp macro="" textlink="'[1]MSFT Analysis'!A2">
      <xdr:nvSpPr>
        <xdr:cNvPr id="6" name="Rectangle 5">
          <a:extLst>
            <a:ext uri="{FF2B5EF4-FFF2-40B4-BE49-F238E27FC236}">
              <a16:creationId xmlns:a16="http://schemas.microsoft.com/office/drawing/2014/main" id="{AA5288E1-3FAD-46C0-8CC0-3091D9FBB320}"/>
            </a:ext>
          </a:extLst>
        </xdr:cNvPr>
        <xdr:cNvSpPr/>
      </xdr:nvSpPr>
      <xdr:spPr>
        <a:xfrm>
          <a:off x="347663" y="2917507"/>
          <a:ext cx="1548764" cy="776288"/>
        </a:xfrm>
        <a:custGeom>
          <a:avLst/>
          <a:gdLst>
            <a:gd name="connsiteX0" fmla="*/ 0 w 1547812"/>
            <a:gd name="connsiteY0" fmla="*/ 0 h 776288"/>
            <a:gd name="connsiteX1" fmla="*/ 1547812 w 1547812"/>
            <a:gd name="connsiteY1" fmla="*/ 0 h 776288"/>
            <a:gd name="connsiteX2" fmla="*/ 1547812 w 1547812"/>
            <a:gd name="connsiteY2" fmla="*/ 776288 h 776288"/>
            <a:gd name="connsiteX3" fmla="*/ 0 w 1547812"/>
            <a:gd name="connsiteY3" fmla="*/ 776288 h 776288"/>
            <a:gd name="connsiteX4" fmla="*/ 0 w 1547812"/>
            <a:gd name="connsiteY4" fmla="*/ 0 h 77628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547812" h="776288" extrusionOk="0">
              <a:moveTo>
                <a:pt x="0" y="0"/>
              </a:moveTo>
              <a:cubicBezTo>
                <a:pt x="698354" y="54107"/>
                <a:pt x="908877" y="87803"/>
                <a:pt x="1547812" y="0"/>
              </a:cubicBezTo>
              <a:cubicBezTo>
                <a:pt x="1522145" y="211955"/>
                <a:pt x="1502148" y="488108"/>
                <a:pt x="1547812" y="776288"/>
              </a:cubicBezTo>
              <a:cubicBezTo>
                <a:pt x="1214682" y="695124"/>
                <a:pt x="599025" y="813062"/>
                <a:pt x="0" y="776288"/>
              </a:cubicBezTo>
              <a:cubicBezTo>
                <a:pt x="-26121" y="640616"/>
                <a:pt x="30048" y="245220"/>
                <a:pt x="0" y="0"/>
              </a:cubicBezTo>
              <a:close/>
            </a:path>
          </a:pathLst>
        </a:custGeom>
        <a:noFill/>
        <a:ln>
          <a:extLst>
            <a:ext uri="{C807C97D-BFC1-408E-A445-0C87EB9F89A2}">
              <ask:lineSketchStyleProps xmlns:ask="http://schemas.microsoft.com/office/drawing/2018/sketchyshapes" sd="2650216993">
                <a:prstGeom prst="rect">
                  <a:avLst/>
                </a:prstGeom>
                <ask:type>
                  <ask:lineSketchCurved/>
                </ask:type>
              </ask:lineSketchStyleProps>
            </a:ext>
          </a:extLst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B6F9E44-725C-45E5-AF9B-FFBE3EABDCD4}" type="TxLink">
            <a:rPr lang="en-US" sz="40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233%</a:t>
          </a:fld>
          <a:endParaRPr lang="en-US" sz="4000" baseline="0"/>
        </a:p>
      </xdr:txBody>
    </xdr:sp>
    <xdr:clientData/>
  </xdr:twoCellAnchor>
  <xdr:twoCellAnchor>
    <xdr:from>
      <xdr:col>8</xdr:col>
      <xdr:colOff>76200</xdr:colOff>
      <xdr:row>13</xdr:row>
      <xdr:rowOff>171450</xdr:rowOff>
    </xdr:from>
    <xdr:to>
      <xdr:col>10</xdr:col>
      <xdr:colOff>180974</xdr:colOff>
      <xdr:row>15</xdr:row>
      <xdr:rowOff>547688</xdr:rowOff>
    </xdr:to>
    <xdr:sp macro="" textlink="'[1]MSFT Analysis'!B2">
      <xdr:nvSpPr>
        <xdr:cNvPr id="7" name="Rectangle 6">
          <a:extLst>
            <a:ext uri="{FF2B5EF4-FFF2-40B4-BE49-F238E27FC236}">
              <a16:creationId xmlns:a16="http://schemas.microsoft.com/office/drawing/2014/main" id="{E8C6FF55-9254-44E6-BE9F-66D08ABE9D9B}"/>
            </a:ext>
          </a:extLst>
        </xdr:cNvPr>
        <xdr:cNvSpPr/>
      </xdr:nvSpPr>
      <xdr:spPr>
        <a:xfrm>
          <a:off x="6835140" y="2876550"/>
          <a:ext cx="1544954" cy="772478"/>
        </a:xfrm>
        <a:custGeom>
          <a:avLst/>
          <a:gdLst>
            <a:gd name="connsiteX0" fmla="*/ 0 w 1547812"/>
            <a:gd name="connsiteY0" fmla="*/ 0 h 776288"/>
            <a:gd name="connsiteX1" fmla="*/ 1547812 w 1547812"/>
            <a:gd name="connsiteY1" fmla="*/ 0 h 776288"/>
            <a:gd name="connsiteX2" fmla="*/ 1547812 w 1547812"/>
            <a:gd name="connsiteY2" fmla="*/ 776288 h 776288"/>
            <a:gd name="connsiteX3" fmla="*/ 0 w 1547812"/>
            <a:gd name="connsiteY3" fmla="*/ 776288 h 776288"/>
            <a:gd name="connsiteX4" fmla="*/ 0 w 1547812"/>
            <a:gd name="connsiteY4" fmla="*/ 0 h 77628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547812" h="776288" extrusionOk="0">
              <a:moveTo>
                <a:pt x="0" y="0"/>
              </a:moveTo>
              <a:cubicBezTo>
                <a:pt x="698354" y="54107"/>
                <a:pt x="908877" y="87803"/>
                <a:pt x="1547812" y="0"/>
              </a:cubicBezTo>
              <a:cubicBezTo>
                <a:pt x="1522145" y="211955"/>
                <a:pt x="1502148" y="488108"/>
                <a:pt x="1547812" y="776288"/>
              </a:cubicBezTo>
              <a:cubicBezTo>
                <a:pt x="1214682" y="695124"/>
                <a:pt x="599025" y="813062"/>
                <a:pt x="0" y="776288"/>
              </a:cubicBezTo>
              <a:cubicBezTo>
                <a:pt x="-26121" y="640616"/>
                <a:pt x="30048" y="245220"/>
                <a:pt x="0" y="0"/>
              </a:cubicBezTo>
              <a:close/>
            </a:path>
          </a:pathLst>
        </a:custGeom>
        <a:noFill/>
        <a:ln>
          <a:extLst>
            <a:ext uri="{C807C97D-BFC1-408E-A445-0C87EB9F89A2}">
              <ask:lineSketchStyleProps xmlns:ask="http://schemas.microsoft.com/office/drawing/2018/sketchyshapes" sd="2650216993">
                <a:prstGeom prst="rect">
                  <a:avLst/>
                </a:prstGeom>
                <ask:type>
                  <ask:lineSketchCurved/>
                </ask:type>
              </ask:lineSketchStyleProps>
            </a:ext>
          </a:extLst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174C02B-D416-444F-A5B2-F981176DB25D}" type="TxLink">
            <a:rPr lang="en-US" sz="32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2.9%</a:t>
          </a:fld>
          <a:endParaRPr lang="en-US" sz="3200" baseline="0"/>
        </a:p>
      </xdr:txBody>
    </xdr:sp>
    <xdr:clientData/>
  </xdr:twoCellAnchor>
  <xdr:twoCellAnchor editAs="oneCell">
    <xdr:from>
      <xdr:col>13</xdr:col>
      <xdr:colOff>304800</xdr:colOff>
      <xdr:row>0</xdr:row>
      <xdr:rowOff>0</xdr:rowOff>
    </xdr:from>
    <xdr:to>
      <xdr:col>16</xdr:col>
      <xdr:colOff>0</xdr:colOff>
      <xdr:row>8</xdr:row>
      <xdr:rowOff>119062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DCAFC6-270B-4E56-9635-D18137D7D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8450" y="0"/>
          <a:ext cx="1844040" cy="1833562"/>
        </a:xfrm>
        <a:prstGeom prst="rect">
          <a:avLst/>
        </a:prstGeom>
      </xdr:spPr>
    </xdr:pic>
    <xdr:clientData/>
  </xdr:twoCellAnchor>
  <xdr:absoluteAnchor>
    <xdr:pos x="2238375" y="2528888"/>
    <xdr:ext cx="3362325" cy="1781175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B372B2C-8E5D-4C12-BF7C-9E63C5B2219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evil\Documents\DATA_ANALYTICS\datasci_20240316.xlsm" TargetMode="External"/><Relationship Id="rId1" Type="http://schemas.openxmlformats.org/officeDocument/2006/relationships/externalLinkPath" Target="datasci_2024031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"/>
      <sheetName val="Cali_Housing"/>
      <sheetName val="pivot_example"/>
      <sheetName val="titanic_clean"/>
      <sheetName val="titanic_pivottable"/>
      <sheetName val="summary_stats"/>
      <sheetName val="draft_kings"/>
      <sheetName val="formulas"/>
      <sheetName val="jobs"/>
      <sheetName val="MSFT Dash"/>
      <sheetName val="MSFT Analysis"/>
      <sheetName val="analysis_toolpak"/>
      <sheetName val="MSFT"/>
      <sheetName val="MSFT_Forecast"/>
      <sheetName val="MSFT_Fore_Data"/>
      <sheetName val="MSFT (2)"/>
      <sheetName val="MSFT 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>
        <row r="2">
          <cell r="H2">
            <v>0</v>
          </cell>
        </row>
        <row r="3">
          <cell r="H3">
            <v>-1.3051257642474369E-2</v>
          </cell>
        </row>
        <row r="4">
          <cell r="H4">
            <v>-2.2088412304416747E-2</v>
          </cell>
        </row>
        <row r="5">
          <cell r="H5">
            <v>2.4651934547474351E-2</v>
          </cell>
        </row>
        <row r="6">
          <cell r="H6">
            <v>5.6886243896641396E-2</v>
          </cell>
        </row>
        <row r="7">
          <cell r="H7">
            <v>1.9973480170519505E-3</v>
          </cell>
        </row>
        <row r="8">
          <cell r="H8">
            <v>7.5753151487429143E-2</v>
          </cell>
        </row>
        <row r="9">
          <cell r="H9">
            <v>5.8917520623482135E-2</v>
          </cell>
        </row>
        <row r="10">
          <cell r="H10">
            <v>2.2079200473683672E-2</v>
          </cell>
        </row>
        <row r="11">
          <cell r="H11">
            <v>-6.6101498290036476E-2</v>
          </cell>
        </row>
        <row r="12">
          <cell r="H12">
            <v>3.819888495487582E-2</v>
          </cell>
        </row>
        <row r="13">
          <cell r="H13">
            <v>-8.009032323351109E-2</v>
          </cell>
        </row>
        <row r="14">
          <cell r="H14">
            <v>2.8157952884971651E-2</v>
          </cell>
        </row>
        <row r="15">
          <cell r="H15">
            <v>7.2776136401394242E-2</v>
          </cell>
        </row>
        <row r="16">
          <cell r="H16">
            <v>5.7249616563714308E-2</v>
          </cell>
        </row>
        <row r="17">
          <cell r="H17">
            <v>0.10734278339844022</v>
          </cell>
        </row>
        <row r="18">
          <cell r="H18">
            <v>-5.2986251949795428E-2</v>
          </cell>
        </row>
        <row r="19">
          <cell r="H19">
            <v>8.7127002884548221E-2</v>
          </cell>
        </row>
        <row r="20">
          <cell r="H20">
            <v>1.7243703230210156E-2</v>
          </cell>
        </row>
        <row r="21">
          <cell r="H21">
            <v>1.1668179562830895E-2</v>
          </cell>
        </row>
        <row r="22">
          <cell r="H22">
            <v>1.1845121083541691E-2</v>
          </cell>
        </row>
        <row r="23">
          <cell r="H23">
            <v>3.1216463887933966E-2</v>
          </cell>
        </row>
        <row r="24">
          <cell r="H24">
            <v>5.5869323894079122E-2</v>
          </cell>
        </row>
        <row r="25">
          <cell r="H25">
            <v>4.529403942248799E-2</v>
          </cell>
        </row>
        <row r="26">
          <cell r="H26">
            <v>7.9454573549399526E-2</v>
          </cell>
        </row>
        <row r="27">
          <cell r="H27">
            <v>-4.8287569468157758E-2</v>
          </cell>
        </row>
        <row r="28">
          <cell r="H28">
            <v>-2.3882719506226842E-2</v>
          </cell>
        </row>
        <row r="29">
          <cell r="H29">
            <v>0.13632620738773105</v>
          </cell>
        </row>
        <row r="30">
          <cell r="H30">
            <v>2.2543390965391832E-2</v>
          </cell>
        </row>
        <row r="31">
          <cell r="H31">
            <v>0.11365238807914328</v>
          </cell>
        </row>
        <row r="32">
          <cell r="H32">
            <v>7.3704330458532509E-3</v>
          </cell>
        </row>
        <row r="33">
          <cell r="H33">
            <v>0.10009286940173567</v>
          </cell>
        </row>
        <row r="34">
          <cell r="H34">
            <v>-6.5142442622108845E-2</v>
          </cell>
        </row>
        <row r="35">
          <cell r="H35">
            <v>-3.7369769340057347E-2</v>
          </cell>
        </row>
        <row r="36">
          <cell r="H36">
            <v>5.729243494023116E-2</v>
          </cell>
        </row>
        <row r="37">
          <cell r="H37">
            <v>4.1725949308319805E-2</v>
          </cell>
        </row>
        <row r="38">
          <cell r="H38">
            <v>4.2891980804134228E-2</v>
          </cell>
        </row>
        <row r="39">
          <cell r="H39">
            <v>1.8105751173793587E-3</v>
          </cell>
        </row>
        <row r="40">
          <cell r="H40">
            <v>1.6924870275577365E-2</v>
          </cell>
        </row>
        <row r="41">
          <cell r="H41">
            <v>6.9601865495317342E-2</v>
          </cell>
        </row>
        <row r="42">
          <cell r="H42">
            <v>-9.9135890228456789E-3</v>
          </cell>
        </row>
        <row r="43">
          <cell r="H43">
            <v>8.7494149193137513E-2</v>
          </cell>
        </row>
        <row r="44">
          <cell r="H44">
            <v>5.1716560024733314E-2</v>
          </cell>
        </row>
        <row r="45">
          <cell r="H45">
            <v>5.9562643619392792E-2</v>
          </cell>
        </row>
      </sheetData>
      <sheetData sheetId="13" refreshError="1"/>
      <sheetData sheetId="14" refreshError="1"/>
      <sheetData sheetId="15" refreshError="1"/>
      <sheetData sheetId="16">
        <row r="1">
          <cell r="B1" t="str">
            <v>Adj Close</v>
          </cell>
        </row>
        <row r="2">
          <cell r="A2">
            <v>43466</v>
          </cell>
          <cell r="B2">
            <v>99.166435000000007</v>
          </cell>
        </row>
        <row r="3">
          <cell r="A3">
            <v>43497</v>
          </cell>
          <cell r="B3">
            <v>106.383369</v>
          </cell>
        </row>
        <row r="4">
          <cell r="A4">
            <v>43525</v>
          </cell>
          <cell r="B4">
            <v>112.47378500000001</v>
          </cell>
        </row>
        <row r="5">
          <cell r="A5">
            <v>43556</v>
          </cell>
          <cell r="B5">
            <v>124.54703499999999</v>
          </cell>
        </row>
        <row r="6">
          <cell r="A6">
            <v>43586</v>
          </cell>
          <cell r="B6">
            <v>117.947754</v>
          </cell>
        </row>
        <row r="7">
          <cell r="A7">
            <v>43617</v>
          </cell>
          <cell r="B7">
            <v>128.22422800000001</v>
          </cell>
        </row>
        <row r="8">
          <cell r="A8">
            <v>43647</v>
          </cell>
          <cell r="B8">
            <v>130.435318</v>
          </cell>
        </row>
        <row r="9">
          <cell r="A9">
            <v>43678</v>
          </cell>
          <cell r="B9">
            <v>131.957199</v>
          </cell>
        </row>
        <row r="10">
          <cell r="A10">
            <v>43709</v>
          </cell>
          <cell r="B10">
            <v>133.520264</v>
          </cell>
        </row>
        <row r="11">
          <cell r="A11">
            <v>43739</v>
          </cell>
          <cell r="B11">
            <v>137.688278</v>
          </cell>
        </row>
        <row r="12">
          <cell r="A12">
            <v>43770</v>
          </cell>
          <cell r="B12">
            <v>145.38081399999999</v>
          </cell>
        </row>
        <row r="13">
          <cell r="A13">
            <v>43800</v>
          </cell>
          <cell r="B13">
            <v>151.96568300000001</v>
          </cell>
        </row>
        <row r="14">
          <cell r="A14">
            <v>43831</v>
          </cell>
          <cell r="B14">
            <v>164.040085</v>
          </cell>
        </row>
        <row r="15">
          <cell r="A15">
            <v>43862</v>
          </cell>
          <cell r="B15">
            <v>156.11897300000001</v>
          </cell>
        </row>
        <row r="16">
          <cell r="A16">
            <v>43891</v>
          </cell>
          <cell r="B16">
            <v>152.39044200000001</v>
          </cell>
        </row>
        <row r="17">
          <cell r="A17">
            <v>43922</v>
          </cell>
          <cell r="B17">
            <v>173.16525300000001</v>
          </cell>
        </row>
        <row r="18">
          <cell r="A18">
            <v>43952</v>
          </cell>
          <cell r="B18">
            <v>177.068985</v>
          </cell>
        </row>
        <row r="19">
          <cell r="A19">
            <v>43983</v>
          </cell>
          <cell r="B19">
            <v>197.19328300000001</v>
          </cell>
        </row>
        <row r="20">
          <cell r="A20">
            <v>44013</v>
          </cell>
          <cell r="B20">
            <v>198.64671300000001</v>
          </cell>
        </row>
        <row r="21">
          <cell r="A21">
            <v>44044</v>
          </cell>
          <cell r="B21">
            <v>218.529785</v>
          </cell>
        </row>
        <row r="22">
          <cell r="A22">
            <v>44075</v>
          </cell>
          <cell r="B22">
            <v>204.29425000000001</v>
          </cell>
        </row>
        <row r="23">
          <cell r="A23">
            <v>44105</v>
          </cell>
          <cell r="B23">
            <v>196.65980500000001</v>
          </cell>
        </row>
        <row r="24">
          <cell r="A24">
            <v>44136</v>
          </cell>
          <cell r="B24">
            <v>207.926941</v>
          </cell>
        </row>
        <row r="25">
          <cell r="A25">
            <v>44166</v>
          </cell>
          <cell r="B25">
            <v>216.60290499999999</v>
          </cell>
        </row>
        <row r="26">
          <cell r="A26">
            <v>44197</v>
          </cell>
          <cell r="B26">
            <v>225.893417</v>
          </cell>
        </row>
        <row r="27">
          <cell r="A27">
            <v>44228</v>
          </cell>
          <cell r="B27">
            <v>226.30242899999999</v>
          </cell>
        </row>
        <row r="28">
          <cell r="A28">
            <v>44256</v>
          </cell>
          <cell r="B28">
            <v>230.13256799999999</v>
          </cell>
        </row>
        <row r="29">
          <cell r="A29">
            <v>44287</v>
          </cell>
          <cell r="B29">
            <v>246.15020799999999</v>
          </cell>
        </row>
        <row r="30">
          <cell r="A30">
            <v>44317</v>
          </cell>
          <cell r="B30">
            <v>243.709946</v>
          </cell>
        </row>
        <row r="31">
          <cell r="A31">
            <v>44348</v>
          </cell>
          <cell r="B31">
            <v>265.033142</v>
          </cell>
        </row>
        <row r="32">
          <cell r="A32">
            <v>44378</v>
          </cell>
          <cell r="B32">
            <v>278.739777</v>
          </cell>
        </row>
        <row r="33">
          <cell r="A33">
            <v>44409</v>
          </cell>
          <cell r="B33">
            <v>295.34219400000001</v>
          </cell>
        </row>
        <row r="34">
          <cell r="A34">
            <v>44440</v>
          </cell>
          <cell r="B34">
            <v>276.34255999999999</v>
          </cell>
        </row>
        <row r="35">
          <cell r="A35">
            <v>44470</v>
          </cell>
          <cell r="B35">
            <v>325.059235</v>
          </cell>
        </row>
        <row r="36">
          <cell r="A36">
            <v>44501</v>
          </cell>
          <cell r="B36">
            <v>324.04965199999998</v>
          </cell>
        </row>
        <row r="37">
          <cell r="A37">
            <v>44531</v>
          </cell>
          <cell r="B37">
            <v>330.26943999999997</v>
          </cell>
        </row>
        <row r="38">
          <cell r="A38">
            <v>44562</v>
          </cell>
          <cell r="B38">
            <v>305.38531499999999</v>
          </cell>
        </row>
        <row r="39">
          <cell r="A39">
            <v>44593</v>
          </cell>
          <cell r="B39">
            <v>293.414581</v>
          </cell>
        </row>
        <row r="40">
          <cell r="A40">
            <v>44621</v>
          </cell>
          <cell r="B40">
            <v>303.38937399999998</v>
          </cell>
        </row>
        <row r="41">
          <cell r="A41">
            <v>44652</v>
          </cell>
          <cell r="B41">
            <v>273.09072900000001</v>
          </cell>
        </row>
        <row r="42">
          <cell r="A42">
            <v>44682</v>
          </cell>
          <cell r="B42">
            <v>267.53094499999997</v>
          </cell>
        </row>
        <row r="43">
          <cell r="A43">
            <v>44713</v>
          </cell>
          <cell r="B43">
            <v>253.31961100000001</v>
          </cell>
        </row>
        <row r="44">
          <cell r="A44">
            <v>44743</v>
          </cell>
          <cell r="B44">
            <v>276.90277099999997</v>
          </cell>
        </row>
        <row r="45">
          <cell r="A45">
            <v>44774</v>
          </cell>
          <cell r="B45">
            <v>257.89614899999998</v>
          </cell>
        </row>
        <row r="46">
          <cell r="A46">
            <v>44805</v>
          </cell>
          <cell r="B46">
            <v>230.204285</v>
          </cell>
        </row>
        <row r="47">
          <cell r="A47">
            <v>44835</v>
          </cell>
          <cell r="B47">
            <v>229.44319200000001</v>
          </cell>
        </row>
        <row r="48">
          <cell r="A48">
            <v>44866</v>
          </cell>
          <cell r="B48">
            <v>252.186859</v>
          </cell>
        </row>
        <row r="49">
          <cell r="A49">
            <v>44896</v>
          </cell>
          <cell r="B49">
            <v>237.712219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57FCC-A809-47D0-A591-8976A9AF4332}">
  <sheetPr codeName="Sheet9">
    <pageSetUpPr autoPageBreaks="0" fitToPage="1"/>
  </sheetPr>
  <dimension ref="A1:P25"/>
  <sheetViews>
    <sheetView tabSelected="1" zoomScale="80" zoomScaleNormal="80" workbookViewId="0">
      <selection activeCell="D7" sqref="D7"/>
    </sheetView>
  </sheetViews>
  <sheetFormatPr defaultRowHeight="15.6" x14ac:dyDescent="0.6"/>
  <cols>
    <col min="1" max="1" width="14.44921875" customWidth="1"/>
    <col min="2" max="5" width="12.546875" customWidth="1"/>
    <col min="8" max="8" width="6.44921875" customWidth="1"/>
    <col min="9" max="9" width="10.34765625" customWidth="1"/>
    <col min="10" max="15" width="8.546875" customWidth="1"/>
    <col min="16" max="16" width="11.09765625" customWidth="1"/>
    <col min="17" max="21" width="14.84765625" bestFit="1" customWidth="1"/>
    <col min="22" max="23" width="10.44921875" bestFit="1" customWidth="1"/>
  </cols>
  <sheetData>
    <row r="1" spans="1:16" ht="25.8" x14ac:dyDescent="0.95">
      <c r="A1" s="1" t="s">
        <v>0</v>
      </c>
    </row>
    <row r="2" spans="1:16" x14ac:dyDescent="0.6">
      <c r="A2" s="2" t="s">
        <v>1</v>
      </c>
    </row>
    <row r="3" spans="1:16" x14ac:dyDescent="0.6">
      <c r="A3" s="2"/>
    </row>
    <row r="4" spans="1:16" x14ac:dyDescent="0.6">
      <c r="A4" s="2"/>
    </row>
    <row r="5" spans="1:16" x14ac:dyDescent="0.6">
      <c r="A5" s="2"/>
    </row>
    <row r="6" spans="1:16" x14ac:dyDescent="0.6">
      <c r="A6" s="2"/>
    </row>
    <row r="7" spans="1:16" x14ac:dyDescent="0.6">
      <c r="A7" s="2"/>
    </row>
    <row r="8" spans="1:16" x14ac:dyDescent="0.6">
      <c r="A8" s="2"/>
    </row>
    <row r="12" spans="1:16" x14ac:dyDescent="0.6">
      <c r="A12" s="3"/>
      <c r="B12" s="3"/>
      <c r="C12" s="3"/>
      <c r="D12" s="3"/>
      <c r="E12" s="3"/>
      <c r="F12" s="3"/>
      <c r="H12" s="3"/>
      <c r="I12" s="3"/>
      <c r="J12" s="3"/>
      <c r="K12" s="3"/>
      <c r="L12" s="3"/>
      <c r="M12" s="3"/>
      <c r="N12" s="3"/>
      <c r="O12" s="3"/>
      <c r="P12" s="3"/>
    </row>
    <row r="16" spans="1:16" ht="45.9" x14ac:dyDescent="1.65">
      <c r="B16" s="4"/>
      <c r="I16" s="5"/>
      <c r="J16" s="5"/>
    </row>
    <row r="20" spans="1:16" x14ac:dyDescent="0.6">
      <c r="A20" s="6"/>
      <c r="B20" s="6"/>
      <c r="C20" s="6"/>
      <c r="D20" s="6"/>
      <c r="E20" s="6"/>
      <c r="F20" s="6"/>
      <c r="H20" s="7"/>
      <c r="I20" s="7"/>
      <c r="J20" s="7"/>
      <c r="K20" s="7"/>
      <c r="L20" s="7"/>
      <c r="M20" s="7"/>
      <c r="N20" s="7"/>
      <c r="O20" s="7"/>
      <c r="P20" s="7"/>
    </row>
    <row r="22" spans="1:16" ht="15.9" thickBot="1" x14ac:dyDescent="0.65">
      <c r="B22" s="8">
        <v>2019</v>
      </c>
      <c r="C22" s="8">
        <v>2020</v>
      </c>
      <c r="D22" s="8">
        <v>2021</v>
      </c>
      <c r="E22" s="8">
        <v>2022</v>
      </c>
      <c r="J22" s="9" t="s">
        <v>2</v>
      </c>
      <c r="K22" s="9" t="s">
        <v>3</v>
      </c>
      <c r="L22" s="9" t="s">
        <v>4</v>
      </c>
      <c r="M22" s="9" t="s">
        <v>5</v>
      </c>
      <c r="N22" s="9" t="s">
        <v>6</v>
      </c>
      <c r="O22" s="9" t="s">
        <v>7</v>
      </c>
    </row>
    <row r="23" spans="1:16" ht="15.9" thickBot="1" x14ac:dyDescent="0.65">
      <c r="A23" s="10" t="s">
        <v>8</v>
      </c>
      <c r="B23" s="11">
        <v>125843000</v>
      </c>
      <c r="C23" s="11">
        <v>143015000</v>
      </c>
      <c r="D23" s="11">
        <v>168088000</v>
      </c>
      <c r="E23" s="11">
        <v>198270000</v>
      </c>
      <c r="I23" s="10" t="s">
        <v>9</v>
      </c>
      <c r="J23" s="12">
        <v>2.12</v>
      </c>
      <c r="K23" s="12">
        <v>2.52</v>
      </c>
      <c r="L23" s="12">
        <v>2.31</v>
      </c>
      <c r="M23" s="12">
        <v>1.93</v>
      </c>
      <c r="N23" s="12">
        <v>1.74</v>
      </c>
      <c r="O23" s="12">
        <v>1.79</v>
      </c>
    </row>
    <row r="24" spans="1:16" ht="15.9" thickBot="1" x14ac:dyDescent="0.65">
      <c r="A24" s="10" t="s">
        <v>10</v>
      </c>
      <c r="B24" s="11">
        <v>42910000</v>
      </c>
      <c r="C24" s="11">
        <v>46078000</v>
      </c>
      <c r="D24" s="11">
        <v>52232000</v>
      </c>
      <c r="E24" s="11">
        <v>62650000</v>
      </c>
      <c r="I24" s="10" t="s">
        <v>11</v>
      </c>
      <c r="J24" s="12">
        <v>30.85</v>
      </c>
      <c r="K24" s="12">
        <v>35.1</v>
      </c>
      <c r="L24" s="12">
        <v>31.61</v>
      </c>
      <c r="M24" s="12">
        <v>26.2</v>
      </c>
      <c r="N24" s="12">
        <v>24.73</v>
      </c>
      <c r="O24" s="12">
        <v>26.33</v>
      </c>
    </row>
    <row r="25" spans="1:16" ht="15.9" thickBot="1" x14ac:dyDescent="0.65">
      <c r="A25" s="10" t="s">
        <v>12</v>
      </c>
      <c r="B25" s="11">
        <v>82933000</v>
      </c>
      <c r="C25" s="11">
        <v>96937000</v>
      </c>
      <c r="D25" s="11">
        <v>115856000</v>
      </c>
      <c r="E25" s="11">
        <v>135620000</v>
      </c>
    </row>
  </sheetData>
  <pageMargins left="0.7" right="0.7" top="0.75" bottom="0.75" header="0.3" footer="0.3"/>
  <pageSetup scale="63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8326D810-C7A3-4E41-A567-7BE82A997E3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'MSFT Dash'!J24:O24</xm:f>
              <xm:sqref>P24</xm:sqref>
            </x14:sparkline>
          </x14:sparklines>
        </x14:sparklineGroup>
        <x14:sparklineGroup displayEmptyCellsAs="gap" xr2:uid="{9572CC7B-6396-4F4B-A57F-01F7210347E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'MSFT Dash'!J23:O23</xm:f>
              <xm:sqref>P23</xm:sqref>
            </x14:sparkline>
          </x14:sparklines>
        </x14:sparklineGroup>
        <x14:sparklineGroup type="column" displayEmptyCellsAs="gap" xr2:uid="{B28E8A46-D0B0-4D5D-B2EA-C13708BDF4E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'MSFT Dash'!B23:E23</xm:f>
              <xm:sqref>F23</xm:sqref>
            </x14:sparkline>
          </x14:sparklines>
        </x14:sparklineGroup>
        <x14:sparklineGroup type="column" displayEmptyCellsAs="gap" xr2:uid="{0BBDEF81-9975-46A2-9D36-759135AC07B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'MSFT Dash'!B24:E24</xm:f>
              <xm:sqref>F24</xm:sqref>
            </x14:sparkline>
          </x14:sparklines>
        </x14:sparklineGroup>
        <x14:sparklineGroup type="column" displayEmptyCellsAs="gap" xr2:uid="{4C589A95-8D36-4626-A600-88F29292ECF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'MSFT Dash'!B25:E25</xm:f>
              <xm:sqref>F25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MSFT Dash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 K</dc:creator>
  <cp:lastModifiedBy>Mel K</cp:lastModifiedBy>
  <dcterms:created xsi:type="dcterms:W3CDTF">2024-05-15T21:40:33Z</dcterms:created>
  <dcterms:modified xsi:type="dcterms:W3CDTF">2024-05-15T21:41:08Z</dcterms:modified>
</cp:coreProperties>
</file>